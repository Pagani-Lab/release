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49" documentId="11_1586771F7785129D108D3CC0813B5F102B5CBC07" xr6:coauthVersionLast="47" xr6:coauthVersionMax="47" xr10:uidLastSave="{72C4063D-64E2-473F-90DB-A43D1AB58B78}"/>
  <bookViews>
    <workbookView xWindow="1284" yWindow="2256" windowWidth="22368" windowHeight="121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Q29" i="1"/>
  <c r="R29" i="1"/>
  <c r="S29" i="1"/>
  <c r="T29" i="1"/>
  <c r="U29" i="1"/>
  <c r="V29" i="1"/>
  <c r="P30" i="1"/>
  <c r="Q30" i="1"/>
  <c r="R30" i="1"/>
  <c r="S30" i="1"/>
  <c r="T30" i="1"/>
  <c r="U30" i="1"/>
  <c r="V30" i="1"/>
  <c r="P31" i="1"/>
  <c r="Q31" i="1"/>
  <c r="R31" i="1"/>
  <c r="S31" i="1"/>
  <c r="T31" i="1"/>
  <c r="U31" i="1"/>
  <c r="V31" i="1"/>
  <c r="P32" i="1"/>
  <c r="Q32" i="1"/>
  <c r="R32" i="1"/>
  <c r="S32" i="1"/>
  <c r="T32" i="1"/>
  <c r="U32" i="1"/>
  <c r="V32" i="1"/>
  <c r="P33" i="1"/>
  <c r="Q33" i="1"/>
  <c r="R33" i="1"/>
  <c r="S33" i="1"/>
  <c r="T33" i="1"/>
  <c r="U33" i="1"/>
  <c r="V33" i="1"/>
  <c r="P34" i="1"/>
  <c r="Q34" i="1"/>
  <c r="R34" i="1"/>
  <c r="S34" i="1"/>
  <c r="T34" i="1"/>
  <c r="U34" i="1"/>
  <c r="V34" i="1"/>
  <c r="P35" i="1"/>
  <c r="Q35" i="1"/>
  <c r="R35" i="1"/>
  <c r="S35" i="1"/>
  <c r="T35" i="1"/>
  <c r="U35" i="1"/>
  <c r="V35" i="1"/>
  <c r="P36" i="1"/>
  <c r="Q36" i="1"/>
  <c r="R36" i="1"/>
  <c r="S36" i="1"/>
  <c r="T36" i="1"/>
  <c r="U36" i="1"/>
  <c r="V36" i="1"/>
  <c r="O29" i="1"/>
  <c r="O30" i="1"/>
  <c r="O31" i="1"/>
  <c r="O32" i="1"/>
  <c r="O33" i="1"/>
  <c r="O34" i="1"/>
  <c r="O35" i="1"/>
  <c r="O36" i="1"/>
  <c r="C29" i="1"/>
  <c r="D29" i="1" l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C30" i="1"/>
  <c r="C31" i="1"/>
  <c r="C32" i="1"/>
  <c r="C33" i="1"/>
  <c r="C34" i="1"/>
  <c r="C35" i="1"/>
  <c r="C36" i="1"/>
</calcChain>
</file>

<file path=xl/sharedStrings.xml><?xml version="1.0" encoding="utf-8"?>
<sst xmlns="http://schemas.openxmlformats.org/spreadsheetml/2006/main" count="100" uniqueCount="12">
  <si>
    <t>Control</t>
  </si>
  <si>
    <t>DMN</t>
  </si>
  <si>
    <t>DorsAtten</t>
  </si>
  <si>
    <t>Limbic</t>
  </si>
  <si>
    <t>Salience</t>
  </si>
  <si>
    <t>SomatoMotor</t>
  </si>
  <si>
    <t>Visual</t>
  </si>
  <si>
    <t>Subcortical</t>
  </si>
  <si>
    <t>hypo subtype - hypo</t>
  </si>
  <si>
    <t>hypo subtype - hyper</t>
  </si>
  <si>
    <t>hyper subtype - hypo</t>
  </si>
  <si>
    <t>hyper subtype - hyper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</si>
</sst>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6"/>
  <sheetViews>
    <sheetView tabSelected="1" topLeftCell="A13" zoomScale="85" zoomScaleNormal="85" workbookViewId="0">
      <selection activeCell="O17" sqref="O17:V24"/>
    </sheetView>
  </sheetViews>
  <sheetFormatPr defaultRowHeight="14.4" x14ac:dyDescent="0.3"/>
  <sheetData>
    <row r="1" spans="2:22" x14ac:dyDescent="0.3">
      <c r="B1" t="s">
        <v>8</v>
      </c>
      <c r="N1" t="s">
        <v>10</v>
      </c>
    </row>
    <row r="3" spans="2:22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O3" t="s">
        <v>0</v>
      </c>
      <c r="P3" t="s">
        <v>1</v>
      </c>
      <c r="Q3" t="s">
        <v>2</v>
      </c>
      <c r="R3" t="s">
        <v>3</v>
      </c>
      <c r="S3" t="s">
        <v>4</v>
      </c>
      <c r="T3" t="s">
        <v>5</v>
      </c>
      <c r="U3" t="s">
        <v>6</v>
      </c>
      <c r="V3" t="s">
        <v>7</v>
      </c>
    </row>
    <row r="4" spans="2:22" x14ac:dyDescent="0.3">
      <c r="B4" t="s">
        <v>0</v>
      </c>
      <c r="C4">
        <v>0</v>
      </c>
      <c r="D4">
        <v>0</v>
      </c>
      <c r="E4">
        <v>0</v>
      </c>
      <c r="F4">
        <v>0</v>
      </c>
      <c r="G4">
        <v>0.16366612111292964</v>
      </c>
      <c r="H4">
        <v>7.4925074925074928E-2</v>
      </c>
      <c r="I4">
        <v>3.1525851197982346E-2</v>
      </c>
      <c r="J4">
        <v>0</v>
      </c>
      <c r="N4" t="s">
        <v>0</v>
      </c>
      <c r="O4">
        <v>5.1775147928994079</v>
      </c>
      <c r="P4">
        <v>6.2130177514792901</v>
      </c>
      <c r="Q4">
        <v>6.6889632107023411</v>
      </c>
      <c r="R4">
        <v>8.7278106508875748</v>
      </c>
      <c r="S4">
        <v>9.4108019639934533</v>
      </c>
      <c r="T4">
        <v>9.265734265734265</v>
      </c>
      <c r="U4">
        <v>6.7465321563682217</v>
      </c>
      <c r="V4">
        <v>4.2582417582417582</v>
      </c>
    </row>
    <row r="5" spans="2:22" x14ac:dyDescent="0.3">
      <c r="B5" t="s">
        <v>1</v>
      </c>
      <c r="C5">
        <v>0</v>
      </c>
      <c r="D5">
        <v>0</v>
      </c>
      <c r="E5">
        <v>4.7778308647873864E-2</v>
      </c>
      <c r="F5">
        <v>4.2265426880811495E-2</v>
      </c>
      <c r="G5">
        <v>0.14028524666822539</v>
      </c>
      <c r="H5">
        <v>9.9900099900099903E-2</v>
      </c>
      <c r="I5">
        <v>1.8014772113132769E-2</v>
      </c>
      <c r="J5">
        <v>7.8492935635792779E-2</v>
      </c>
      <c r="N5" t="s">
        <v>1</v>
      </c>
      <c r="O5">
        <v>6.2130177514792901</v>
      </c>
      <c r="P5">
        <v>5.1443062432073425</v>
      </c>
      <c r="Q5">
        <v>7.907310081223125</v>
      </c>
      <c r="R5">
        <v>9.5097210481825858</v>
      </c>
      <c r="S5">
        <v>7.6221650689735796</v>
      </c>
      <c r="T5">
        <v>9.8615670044241472</v>
      </c>
      <c r="U5">
        <v>7.7643667807602235</v>
      </c>
      <c r="V5">
        <v>2.9827315541601256</v>
      </c>
    </row>
    <row r="6" spans="2:22" x14ac:dyDescent="0.3">
      <c r="B6" t="s">
        <v>2</v>
      </c>
      <c r="C6">
        <v>0</v>
      </c>
      <c r="D6">
        <v>4.7778308647873864E-2</v>
      </c>
      <c r="E6">
        <v>0</v>
      </c>
      <c r="F6">
        <v>0</v>
      </c>
      <c r="G6">
        <v>0.23126734505087881</v>
      </c>
      <c r="H6">
        <v>8.4697910784867311E-2</v>
      </c>
      <c r="I6">
        <v>0</v>
      </c>
      <c r="J6">
        <v>0</v>
      </c>
      <c r="N6" t="s">
        <v>2</v>
      </c>
      <c r="O6">
        <v>6.6889632107023411</v>
      </c>
      <c r="P6">
        <v>7.907310081223125</v>
      </c>
      <c r="Q6">
        <v>4.7258979206049148</v>
      </c>
      <c r="R6">
        <v>9.615384615384615</v>
      </c>
      <c r="S6">
        <v>7.3080481036077707</v>
      </c>
      <c r="T6">
        <v>9.316770186335404</v>
      </c>
      <c r="U6">
        <v>6.557377049180328</v>
      </c>
      <c r="V6">
        <v>3.1055900621118013</v>
      </c>
    </row>
    <row r="7" spans="2:22" x14ac:dyDescent="0.3">
      <c r="B7" t="s">
        <v>3</v>
      </c>
      <c r="C7">
        <v>0</v>
      </c>
      <c r="D7">
        <v>4.2265426880811495E-2</v>
      </c>
      <c r="E7">
        <v>0</v>
      </c>
      <c r="F7">
        <v>0</v>
      </c>
      <c r="G7">
        <v>0.24549918166939444</v>
      </c>
      <c r="H7">
        <v>0.44955044955044954</v>
      </c>
      <c r="I7">
        <v>0</v>
      </c>
      <c r="J7">
        <v>0</v>
      </c>
      <c r="N7" t="s">
        <v>3</v>
      </c>
      <c r="O7">
        <v>8.7278106508875748</v>
      </c>
      <c r="P7">
        <v>9.5097210481825858</v>
      </c>
      <c r="Q7">
        <v>9.615384615384615</v>
      </c>
      <c r="R7">
        <v>8.5798816568047336</v>
      </c>
      <c r="S7">
        <v>11.129296235679215</v>
      </c>
      <c r="T7">
        <v>10.43956043956044</v>
      </c>
      <c r="U7">
        <v>12.484237074401008</v>
      </c>
      <c r="V7">
        <v>6.5934065934065931</v>
      </c>
    </row>
    <row r="8" spans="2:22" x14ac:dyDescent="0.3">
      <c r="B8" t="s">
        <v>4</v>
      </c>
      <c r="C8">
        <v>0.16366612111292964</v>
      </c>
      <c r="D8">
        <v>0.14028524666822539</v>
      </c>
      <c r="E8">
        <v>0.23126734505087881</v>
      </c>
      <c r="F8">
        <v>0.24549918166939444</v>
      </c>
      <c r="G8">
        <v>9.0538705296514255E-2</v>
      </c>
      <c r="H8">
        <v>5.5263885051119094E-2</v>
      </c>
      <c r="I8">
        <v>0.2790373212417161</v>
      </c>
      <c r="J8">
        <v>0</v>
      </c>
      <c r="N8" t="s">
        <v>4</v>
      </c>
      <c r="O8">
        <v>9.4108019639934533</v>
      </c>
      <c r="P8">
        <v>7.6221650689735796</v>
      </c>
      <c r="Q8">
        <v>7.3080481036077707</v>
      </c>
      <c r="R8">
        <v>11.129296235679215</v>
      </c>
      <c r="S8">
        <v>3.2593933906745134</v>
      </c>
      <c r="T8">
        <v>4.338214976512849</v>
      </c>
      <c r="U8">
        <v>8.9291942797349151</v>
      </c>
      <c r="V8">
        <v>2.1276595744680851</v>
      </c>
    </row>
    <row r="9" spans="2:22" x14ac:dyDescent="0.3">
      <c r="B9" t="s">
        <v>5</v>
      </c>
      <c r="C9">
        <v>7.4925074925074928E-2</v>
      </c>
      <c r="D9">
        <v>9.9900099900099903E-2</v>
      </c>
      <c r="E9">
        <v>8.4697910784867311E-2</v>
      </c>
      <c r="F9">
        <v>0.44955044955044954</v>
      </c>
      <c r="G9">
        <v>5.5263885051119094E-2</v>
      </c>
      <c r="H9">
        <v>0.13493000505987518</v>
      </c>
      <c r="I9">
        <v>0.12774111134766872</v>
      </c>
      <c r="J9">
        <v>0.18552875695732837</v>
      </c>
      <c r="N9" t="s">
        <v>5</v>
      </c>
      <c r="O9">
        <v>9.265734265734265</v>
      </c>
      <c r="P9">
        <v>9.8615670044241472</v>
      </c>
      <c r="Q9">
        <v>9.316770186335404</v>
      </c>
      <c r="R9">
        <v>10.43956043956044</v>
      </c>
      <c r="S9">
        <v>4.338214976512849</v>
      </c>
      <c r="T9">
        <v>7.6235452858829484</v>
      </c>
      <c r="U9">
        <v>11.28379816904407</v>
      </c>
      <c r="V9">
        <v>2.7829313543599259</v>
      </c>
    </row>
    <row r="10" spans="2:22" x14ac:dyDescent="0.3">
      <c r="B10" t="s">
        <v>6</v>
      </c>
      <c r="C10">
        <v>3.1525851197982346E-2</v>
      </c>
      <c r="D10">
        <v>1.8014772113132769E-2</v>
      </c>
      <c r="E10">
        <v>0</v>
      </c>
      <c r="F10">
        <v>0</v>
      </c>
      <c r="G10">
        <v>0.2790373212417161</v>
      </c>
      <c r="H10">
        <v>0.12774111134766872</v>
      </c>
      <c r="I10">
        <v>0</v>
      </c>
      <c r="J10">
        <v>0</v>
      </c>
      <c r="N10" t="s">
        <v>6</v>
      </c>
      <c r="O10">
        <v>6.7465321563682217</v>
      </c>
      <c r="P10">
        <v>7.7643667807602235</v>
      </c>
      <c r="Q10">
        <v>6.557377049180328</v>
      </c>
      <c r="R10">
        <v>12.484237074401008</v>
      </c>
      <c r="S10">
        <v>8.9291942797349151</v>
      </c>
      <c r="T10">
        <v>11.28379816904407</v>
      </c>
      <c r="U10">
        <v>2.5262026337006183</v>
      </c>
      <c r="V10">
        <v>2.459016393442623</v>
      </c>
    </row>
    <row r="11" spans="2:22" x14ac:dyDescent="0.3">
      <c r="B11" t="s">
        <v>7</v>
      </c>
      <c r="C11">
        <v>0</v>
      </c>
      <c r="D11">
        <v>7.8492935635792779E-2</v>
      </c>
      <c r="E11">
        <v>0</v>
      </c>
      <c r="F11">
        <v>0</v>
      </c>
      <c r="G11">
        <v>0</v>
      </c>
      <c r="H11">
        <v>0.18552875695732837</v>
      </c>
      <c r="I11">
        <v>0</v>
      </c>
      <c r="J11">
        <v>0</v>
      </c>
      <c r="N11" t="s">
        <v>7</v>
      </c>
      <c r="O11">
        <v>4.2582417582417582</v>
      </c>
      <c r="P11">
        <v>2.9827315541601256</v>
      </c>
      <c r="Q11">
        <v>3.1055900621118013</v>
      </c>
      <c r="R11">
        <v>6.5934065934065931</v>
      </c>
      <c r="S11">
        <v>2.1276595744680851</v>
      </c>
      <c r="T11">
        <v>2.7829313543599259</v>
      </c>
      <c r="U11">
        <v>2.459016393442623</v>
      </c>
      <c r="V11">
        <v>2.0408163265306123</v>
      </c>
    </row>
    <row r="14" spans="2:22" x14ac:dyDescent="0.3">
      <c r="B14" t="s">
        <v>9</v>
      </c>
      <c r="N14" t="s">
        <v>11</v>
      </c>
    </row>
    <row r="16" spans="2:22" x14ac:dyDescent="0.3">
      <c r="C16" t="s">
        <v>0</v>
      </c>
      <c r="D16" t="s">
        <v>1</v>
      </c>
      <c r="E16" t="s">
        <v>2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O16" t="s">
        <v>0</v>
      </c>
      <c r="P16" t="s">
        <v>1</v>
      </c>
      <c r="Q16" t="s">
        <v>2</v>
      </c>
      <c r="R16" t="s">
        <v>3</v>
      </c>
      <c r="S16" t="s">
        <v>4</v>
      </c>
      <c r="T16" t="s">
        <v>5</v>
      </c>
      <c r="U16" t="s">
        <v>6</v>
      </c>
      <c r="V16" t="s">
        <v>7</v>
      </c>
    </row>
    <row r="17" spans="2:22" x14ac:dyDescent="0.3">
      <c r="B17" t="s">
        <v>0</v>
      </c>
      <c r="C17">
        <v>0.29585798816568049</v>
      </c>
      <c r="D17">
        <v>1.4581572273879966</v>
      </c>
      <c r="E17">
        <v>0.71070234113712372</v>
      </c>
      <c r="F17">
        <v>0.29585798816568049</v>
      </c>
      <c r="G17">
        <v>0.16366612111292964</v>
      </c>
      <c r="H17">
        <v>0.19980019980019981</v>
      </c>
      <c r="I17">
        <v>0.4098360655737705</v>
      </c>
      <c r="J17">
        <v>0</v>
      </c>
      <c r="N17" t="s">
        <v>0</v>
      </c>
      <c r="O17">
        <v>14.127218934911243</v>
      </c>
      <c r="P17">
        <v>7.6289095519864754</v>
      </c>
      <c r="Q17">
        <v>6.563545150501672</v>
      </c>
      <c r="R17">
        <v>3.4023668639053253</v>
      </c>
      <c r="S17">
        <v>5.3191489361702127</v>
      </c>
      <c r="T17">
        <v>3.2467532467532467</v>
      </c>
      <c r="U17">
        <v>4.5081967213114753</v>
      </c>
      <c r="V17">
        <v>11.538461538461538</v>
      </c>
    </row>
    <row r="18" spans="2:22" x14ac:dyDescent="0.3">
      <c r="B18" t="s">
        <v>1</v>
      </c>
      <c r="C18">
        <v>1.4581572273879966</v>
      </c>
      <c r="D18">
        <v>0.16906170752324598</v>
      </c>
      <c r="E18">
        <v>0.43000477783086477</v>
      </c>
      <c r="F18">
        <v>0.21132713440405748</v>
      </c>
      <c r="G18">
        <v>0.18704699555763385</v>
      </c>
      <c r="H18">
        <v>7.1357214214357076E-2</v>
      </c>
      <c r="I18">
        <v>0.30625112592325709</v>
      </c>
      <c r="J18">
        <v>0</v>
      </c>
      <c r="N18" t="s">
        <v>1</v>
      </c>
      <c r="O18">
        <v>7.6289095519864754</v>
      </c>
      <c r="P18">
        <v>7.1488950609829729</v>
      </c>
      <c r="Q18">
        <v>3.7983755375059722</v>
      </c>
      <c r="R18">
        <v>3.2121724429416738</v>
      </c>
      <c r="S18">
        <v>4.9099836333878883</v>
      </c>
      <c r="T18">
        <v>2.9399172256315111</v>
      </c>
      <c r="U18">
        <v>3.6389839668528192</v>
      </c>
      <c r="V18">
        <v>14.442700156985872</v>
      </c>
    </row>
    <row r="19" spans="2:22" x14ac:dyDescent="0.3">
      <c r="B19" t="s">
        <v>2</v>
      </c>
      <c r="C19">
        <v>0.71070234113712372</v>
      </c>
      <c r="D19">
        <v>0.43000477783086477</v>
      </c>
      <c r="E19">
        <v>0.94517958412098302</v>
      </c>
      <c r="F19">
        <v>8.3612040133779264E-2</v>
      </c>
      <c r="G19">
        <v>0.27752081406105455</v>
      </c>
      <c r="H19">
        <v>0.42348955392433651</v>
      </c>
      <c r="I19">
        <v>0.14255167498218105</v>
      </c>
      <c r="J19">
        <v>0</v>
      </c>
      <c r="N19" t="s">
        <v>2</v>
      </c>
      <c r="O19">
        <v>6.563545150501672</v>
      </c>
      <c r="P19">
        <v>3.7983755375059722</v>
      </c>
      <c r="Q19">
        <v>9.3572778827977316</v>
      </c>
      <c r="R19">
        <v>2.508361204013378</v>
      </c>
      <c r="S19">
        <v>6.0592044403330254</v>
      </c>
      <c r="T19">
        <v>3.2185206098249575</v>
      </c>
      <c r="U19">
        <v>5.167498218104063</v>
      </c>
      <c r="V19">
        <v>12.732919254658386</v>
      </c>
    </row>
    <row r="20" spans="2:22" x14ac:dyDescent="0.3">
      <c r="B20" t="s">
        <v>3</v>
      </c>
      <c r="C20">
        <v>0.29585798816568049</v>
      </c>
      <c r="D20">
        <v>0.21132713440405748</v>
      </c>
      <c r="E20">
        <v>8.3612040133779264E-2</v>
      </c>
      <c r="F20">
        <v>0.59171597633136097</v>
      </c>
      <c r="G20">
        <v>0</v>
      </c>
      <c r="H20">
        <v>0</v>
      </c>
      <c r="I20">
        <v>6.3051702395964693E-2</v>
      </c>
      <c r="J20">
        <v>0</v>
      </c>
      <c r="N20" t="s">
        <v>3</v>
      </c>
      <c r="O20">
        <v>3.4023668639053253</v>
      </c>
      <c r="P20">
        <v>3.2121724429416738</v>
      </c>
      <c r="Q20">
        <v>2.508361204013378</v>
      </c>
      <c r="R20">
        <v>6.8047337278106506</v>
      </c>
      <c r="S20">
        <v>2.7004909983633389</v>
      </c>
      <c r="T20">
        <v>2.2977022977022976</v>
      </c>
      <c r="U20">
        <v>2.9634300126103406</v>
      </c>
      <c r="V20">
        <v>20.87912087912088</v>
      </c>
    </row>
    <row r="21" spans="2:22" x14ac:dyDescent="0.3">
      <c r="B21" t="s">
        <v>4</v>
      </c>
      <c r="C21">
        <v>0.16366612111292964</v>
      </c>
      <c r="D21">
        <v>0.18704699555763385</v>
      </c>
      <c r="E21">
        <v>0.27752081406105455</v>
      </c>
      <c r="F21">
        <v>0</v>
      </c>
      <c r="G21">
        <v>0</v>
      </c>
      <c r="H21">
        <v>0.11052777010223819</v>
      </c>
      <c r="I21">
        <v>3.4879665155214512E-2</v>
      </c>
      <c r="J21">
        <v>0</v>
      </c>
      <c r="N21" t="s">
        <v>4</v>
      </c>
      <c r="O21">
        <v>5.3191489361702127</v>
      </c>
      <c r="P21">
        <v>4.9099836333878883</v>
      </c>
      <c r="Q21">
        <v>6.0592044403330254</v>
      </c>
      <c r="R21">
        <v>2.7004909983633389</v>
      </c>
      <c r="S21">
        <v>16.115889542779538</v>
      </c>
      <c r="T21">
        <v>11.494888090632772</v>
      </c>
      <c r="U21">
        <v>3.8716428322288108</v>
      </c>
      <c r="V21">
        <v>28.419452887537993</v>
      </c>
    </row>
    <row r="22" spans="2:22" x14ac:dyDescent="0.3">
      <c r="B22" t="s">
        <v>5</v>
      </c>
      <c r="C22">
        <v>0.19980019980019981</v>
      </c>
      <c r="D22">
        <v>7.1357214214357076E-2</v>
      </c>
      <c r="E22">
        <v>0.42348955392433651</v>
      </c>
      <c r="F22">
        <v>0</v>
      </c>
      <c r="G22">
        <v>0.11052777010223819</v>
      </c>
      <c r="H22">
        <v>0.1011975037949064</v>
      </c>
      <c r="I22">
        <v>0</v>
      </c>
      <c r="J22">
        <v>0</v>
      </c>
      <c r="N22" t="s">
        <v>5</v>
      </c>
      <c r="O22">
        <v>3.2467532467532467</v>
      </c>
      <c r="P22">
        <v>2.9399172256315111</v>
      </c>
      <c r="Q22">
        <v>3.2185206098249575</v>
      </c>
      <c r="R22">
        <v>2.2977022977022976</v>
      </c>
      <c r="S22">
        <v>11.494888090632772</v>
      </c>
      <c r="T22">
        <v>9.4788328554562327</v>
      </c>
      <c r="U22">
        <v>2.150308707685757</v>
      </c>
      <c r="V22">
        <v>24.953617810760669</v>
      </c>
    </row>
    <row r="23" spans="2:22" x14ac:dyDescent="0.3">
      <c r="B23" t="s">
        <v>6</v>
      </c>
      <c r="C23">
        <v>0.4098360655737705</v>
      </c>
      <c r="D23">
        <v>0.30625112592325709</v>
      </c>
      <c r="E23">
        <v>0.14255167498218105</v>
      </c>
      <c r="F23">
        <v>6.3051702395964693E-2</v>
      </c>
      <c r="G23">
        <v>3.4879665155214512E-2</v>
      </c>
      <c r="H23">
        <v>0</v>
      </c>
      <c r="I23">
        <v>0.64498790647675353</v>
      </c>
      <c r="J23">
        <v>0</v>
      </c>
      <c r="N23" t="s">
        <v>6</v>
      </c>
      <c r="O23">
        <v>4.5081967213114753</v>
      </c>
      <c r="P23">
        <v>3.6389839668528192</v>
      </c>
      <c r="Q23">
        <v>5.167498218104063</v>
      </c>
      <c r="R23">
        <v>2.9634300126103406</v>
      </c>
      <c r="S23">
        <v>3.8716428322288108</v>
      </c>
      <c r="T23">
        <v>2.150308707685757</v>
      </c>
      <c r="U23">
        <v>19.940876108572965</v>
      </c>
      <c r="V23">
        <v>16.510538641686182</v>
      </c>
    </row>
    <row r="24" spans="2:22" x14ac:dyDescent="0.3">
      <c r="B24" t="s">
        <v>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N24" t="s">
        <v>7</v>
      </c>
      <c r="O24">
        <v>11.538461538461538</v>
      </c>
      <c r="P24">
        <v>14.442700156985872</v>
      </c>
      <c r="Q24">
        <v>12.732919254658386</v>
      </c>
      <c r="R24">
        <v>20.87912087912088</v>
      </c>
      <c r="S24">
        <v>28.419452887537993</v>
      </c>
      <c r="T24">
        <v>24.953617810760669</v>
      </c>
      <c r="U24">
        <v>16.510538641686182</v>
      </c>
      <c r="V24">
        <v>35.714285714285715</v>
      </c>
    </row>
    <row r="28" spans="2:22" x14ac:dyDescent="0.3">
      <c r="C28" t="s">
        <v>0</v>
      </c>
      <c r="D28" t="s">
        <v>1</v>
      </c>
      <c r="E28" t="s">
        <v>2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O28" t="s">
        <v>0</v>
      </c>
      <c r="P28" t="s">
        <v>1</v>
      </c>
      <c r="Q28" t="s">
        <v>2</v>
      </c>
      <c r="R28" t="s">
        <v>3</v>
      </c>
      <c r="S28" t="s">
        <v>4</v>
      </c>
      <c r="T28" t="s">
        <v>5</v>
      </c>
      <c r="U28" t="s">
        <v>6</v>
      </c>
      <c r="V28" t="s">
        <v>7</v>
      </c>
    </row>
    <row r="29" spans="2:22" x14ac:dyDescent="0.3">
      <c r="B29" t="s">
        <v>0</v>
      </c>
      <c r="C29">
        <f t="shared" ref="C29:J36" si="0">SUM((C4*-1)+C17)</f>
        <v>0.29585798816568049</v>
      </c>
      <c r="D29">
        <f t="shared" si="0"/>
        <v>1.4581572273879966</v>
      </c>
      <c r="E29">
        <f t="shared" si="0"/>
        <v>0.71070234113712372</v>
      </c>
      <c r="F29">
        <f t="shared" si="0"/>
        <v>0.29585798816568049</v>
      </c>
      <c r="G29">
        <f t="shared" si="0"/>
        <v>0</v>
      </c>
      <c r="H29">
        <f t="shared" si="0"/>
        <v>0.12487512487512488</v>
      </c>
      <c r="I29">
        <f t="shared" si="0"/>
        <v>0.37831021437578816</v>
      </c>
      <c r="J29">
        <f t="shared" si="0"/>
        <v>0</v>
      </c>
      <c r="N29" t="s">
        <v>0</v>
      </c>
      <c r="O29">
        <f t="shared" ref="O29:V35" si="1">SUM((O4*-1)+O17)</f>
        <v>8.9497041420118357</v>
      </c>
      <c r="P29">
        <f t="shared" si="1"/>
        <v>1.4158918005071852</v>
      </c>
      <c r="Q29">
        <f t="shared" si="1"/>
        <v>-0.12541806020066915</v>
      </c>
      <c r="R29">
        <f t="shared" si="1"/>
        <v>-5.32544378698225</v>
      </c>
      <c r="S29">
        <f t="shared" si="1"/>
        <v>-4.0916530278232406</v>
      </c>
      <c r="T29">
        <f t="shared" si="1"/>
        <v>-6.0189810189810178</v>
      </c>
      <c r="U29">
        <f t="shared" si="1"/>
        <v>-2.2383354350567464</v>
      </c>
      <c r="V29">
        <f t="shared" si="1"/>
        <v>7.2802197802197801</v>
      </c>
    </row>
    <row r="30" spans="2:22" x14ac:dyDescent="0.3">
      <c r="B30" t="s">
        <v>1</v>
      </c>
      <c r="C30">
        <f t="shared" si="0"/>
        <v>1.4581572273879966</v>
      </c>
      <c r="D30">
        <f t="shared" si="0"/>
        <v>0.16906170752324598</v>
      </c>
      <c r="E30">
        <f t="shared" si="0"/>
        <v>0.38222646918299091</v>
      </c>
      <c r="F30">
        <f t="shared" si="0"/>
        <v>0.16906170752324598</v>
      </c>
      <c r="G30">
        <f t="shared" si="0"/>
        <v>4.6761748889408455E-2</v>
      </c>
      <c r="H30">
        <f t="shared" si="0"/>
        <v>-2.8542885685742828E-2</v>
      </c>
      <c r="I30">
        <f t="shared" si="0"/>
        <v>0.2882363538101243</v>
      </c>
      <c r="J30">
        <f t="shared" si="0"/>
        <v>-7.8492935635792779E-2</v>
      </c>
      <c r="N30" t="s">
        <v>1</v>
      </c>
      <c r="O30">
        <f t="shared" si="1"/>
        <v>1.4158918005071852</v>
      </c>
      <c r="P30">
        <f t="shared" si="1"/>
        <v>2.0045888177756304</v>
      </c>
      <c r="Q30">
        <f t="shared" si="1"/>
        <v>-4.1089345437171527</v>
      </c>
      <c r="R30">
        <f t="shared" si="1"/>
        <v>-6.2975486052409124</v>
      </c>
      <c r="S30">
        <f t="shared" si="1"/>
        <v>-2.7121814355856912</v>
      </c>
      <c r="T30">
        <f t="shared" si="1"/>
        <v>-6.9216497787926361</v>
      </c>
      <c r="U30">
        <f t="shared" si="1"/>
        <v>-4.1253828139074038</v>
      </c>
      <c r="V30">
        <f t="shared" si="1"/>
        <v>11.459968602825747</v>
      </c>
    </row>
    <row r="31" spans="2:22" x14ac:dyDescent="0.3">
      <c r="B31" t="s">
        <v>2</v>
      </c>
      <c r="C31">
        <f t="shared" si="0"/>
        <v>0.71070234113712372</v>
      </c>
      <c r="D31">
        <f t="shared" si="0"/>
        <v>0.38222646918299091</v>
      </c>
      <c r="E31">
        <f t="shared" si="0"/>
        <v>0.94517958412098302</v>
      </c>
      <c r="F31">
        <f t="shared" si="0"/>
        <v>8.3612040133779264E-2</v>
      </c>
      <c r="G31">
        <f t="shared" si="0"/>
        <v>4.6253469010175741E-2</v>
      </c>
      <c r="H31">
        <f t="shared" si="0"/>
        <v>0.33879164313946919</v>
      </c>
      <c r="I31">
        <f t="shared" si="0"/>
        <v>0.14255167498218105</v>
      </c>
      <c r="J31">
        <f t="shared" si="0"/>
        <v>0</v>
      </c>
      <c r="N31" t="s">
        <v>2</v>
      </c>
      <c r="O31">
        <f t="shared" si="1"/>
        <v>-0.12541806020066915</v>
      </c>
      <c r="P31">
        <f t="shared" si="1"/>
        <v>-4.1089345437171527</v>
      </c>
      <c r="Q31">
        <f t="shared" si="1"/>
        <v>4.6313799621928169</v>
      </c>
      <c r="R31">
        <f t="shared" si="1"/>
        <v>-7.1070234113712374</v>
      </c>
      <c r="S31">
        <f t="shared" si="1"/>
        <v>-1.2488436632747453</v>
      </c>
      <c r="T31">
        <f t="shared" si="1"/>
        <v>-6.0982495765104465</v>
      </c>
      <c r="U31">
        <f t="shared" si="1"/>
        <v>-1.3898788310762651</v>
      </c>
      <c r="V31">
        <f t="shared" si="1"/>
        <v>9.6273291925465845</v>
      </c>
    </row>
    <row r="32" spans="2:22" x14ac:dyDescent="0.3">
      <c r="B32" t="s">
        <v>3</v>
      </c>
      <c r="C32">
        <f t="shared" si="0"/>
        <v>0.29585798816568049</v>
      </c>
      <c r="D32">
        <f t="shared" si="0"/>
        <v>0.16906170752324598</v>
      </c>
      <c r="E32">
        <f t="shared" si="0"/>
        <v>8.3612040133779264E-2</v>
      </c>
      <c r="F32">
        <f t="shared" si="0"/>
        <v>0.59171597633136097</v>
      </c>
      <c r="G32">
        <f t="shared" si="0"/>
        <v>-0.24549918166939444</v>
      </c>
      <c r="H32">
        <f t="shared" si="0"/>
        <v>-0.44955044955044954</v>
      </c>
      <c r="I32">
        <f t="shared" si="0"/>
        <v>6.3051702395964693E-2</v>
      </c>
      <c r="J32">
        <f t="shared" si="0"/>
        <v>0</v>
      </c>
      <c r="N32" t="s">
        <v>3</v>
      </c>
      <c r="O32">
        <f t="shared" si="1"/>
        <v>-5.32544378698225</v>
      </c>
      <c r="P32">
        <f t="shared" si="1"/>
        <v>-6.2975486052409124</v>
      </c>
      <c r="Q32">
        <f t="shared" si="1"/>
        <v>-7.1070234113712374</v>
      </c>
      <c r="R32">
        <f t="shared" si="1"/>
        <v>-1.775147928994083</v>
      </c>
      <c r="S32">
        <f t="shared" si="1"/>
        <v>-8.4288052373158759</v>
      </c>
      <c r="T32">
        <f t="shared" si="1"/>
        <v>-8.1418581418581422</v>
      </c>
      <c r="U32">
        <f t="shared" si="1"/>
        <v>-9.5208070617906682</v>
      </c>
      <c r="V32">
        <f t="shared" si="1"/>
        <v>14.285714285714286</v>
      </c>
    </row>
    <row r="33" spans="2:22" x14ac:dyDescent="0.3">
      <c r="B33" t="s">
        <v>4</v>
      </c>
      <c r="C33">
        <f t="shared" si="0"/>
        <v>0</v>
      </c>
      <c r="D33">
        <f t="shared" si="0"/>
        <v>4.6761748889408455E-2</v>
      </c>
      <c r="E33">
        <f t="shared" si="0"/>
        <v>4.6253469010175741E-2</v>
      </c>
      <c r="F33">
        <f t="shared" si="0"/>
        <v>-0.24549918166939444</v>
      </c>
      <c r="G33">
        <f t="shared" si="0"/>
        <v>-9.0538705296514255E-2</v>
      </c>
      <c r="H33">
        <f t="shared" si="0"/>
        <v>5.5263885051119094E-2</v>
      </c>
      <c r="I33">
        <f t="shared" si="0"/>
        <v>-0.24415765608650158</v>
      </c>
      <c r="J33">
        <f t="shared" si="0"/>
        <v>0</v>
      </c>
      <c r="N33" t="s">
        <v>4</v>
      </c>
      <c r="O33">
        <f t="shared" si="1"/>
        <v>-4.0916530278232406</v>
      </c>
      <c r="P33">
        <f t="shared" si="1"/>
        <v>-2.7121814355856912</v>
      </c>
      <c r="Q33">
        <f t="shared" si="1"/>
        <v>-1.2488436632747453</v>
      </c>
      <c r="R33">
        <f t="shared" si="1"/>
        <v>-8.4288052373158759</v>
      </c>
      <c r="S33">
        <f t="shared" si="1"/>
        <v>12.856496152105024</v>
      </c>
      <c r="T33">
        <f t="shared" si="1"/>
        <v>7.1566731141199229</v>
      </c>
      <c r="U33">
        <f t="shared" si="1"/>
        <v>-5.0575514475061043</v>
      </c>
      <c r="V33">
        <f t="shared" si="1"/>
        <v>26.29179331306991</v>
      </c>
    </row>
    <row r="34" spans="2:22" x14ac:dyDescent="0.3">
      <c r="B34" t="s">
        <v>5</v>
      </c>
      <c r="C34">
        <f t="shared" si="0"/>
        <v>0.12487512487512488</v>
      </c>
      <c r="D34">
        <f t="shared" si="0"/>
        <v>-2.8542885685742828E-2</v>
      </c>
      <c r="E34">
        <f t="shared" si="0"/>
        <v>0.33879164313946919</v>
      </c>
      <c r="F34">
        <f t="shared" si="0"/>
        <v>-0.44955044955044954</v>
      </c>
      <c r="G34">
        <f t="shared" si="0"/>
        <v>5.5263885051119094E-2</v>
      </c>
      <c r="H34">
        <f t="shared" si="0"/>
        <v>-3.3732501264968781E-2</v>
      </c>
      <c r="I34">
        <f t="shared" si="0"/>
        <v>-0.12774111134766872</v>
      </c>
      <c r="J34">
        <f t="shared" si="0"/>
        <v>-0.18552875695732837</v>
      </c>
      <c r="N34" t="s">
        <v>5</v>
      </c>
      <c r="O34">
        <f t="shared" si="1"/>
        <v>-6.0189810189810178</v>
      </c>
      <c r="P34">
        <f t="shared" si="1"/>
        <v>-6.9216497787926361</v>
      </c>
      <c r="Q34">
        <f t="shared" si="1"/>
        <v>-6.0982495765104465</v>
      </c>
      <c r="R34">
        <f t="shared" si="1"/>
        <v>-8.1418581418581422</v>
      </c>
      <c r="S34">
        <f t="shared" si="1"/>
        <v>7.1566731141199229</v>
      </c>
      <c r="T34">
        <f t="shared" si="1"/>
        <v>1.8552875695732842</v>
      </c>
      <c r="U34">
        <f t="shared" si="1"/>
        <v>-9.1334894613583124</v>
      </c>
      <c r="V34">
        <f t="shared" si="1"/>
        <v>22.170686456400745</v>
      </c>
    </row>
    <row r="35" spans="2:22" x14ac:dyDescent="0.3">
      <c r="B35" t="s">
        <v>6</v>
      </c>
      <c r="C35">
        <f t="shared" si="0"/>
        <v>0.37831021437578816</v>
      </c>
      <c r="D35">
        <f t="shared" si="0"/>
        <v>0.2882363538101243</v>
      </c>
      <c r="E35">
        <f t="shared" si="0"/>
        <v>0.14255167498218105</v>
      </c>
      <c r="F35">
        <f t="shared" si="0"/>
        <v>6.3051702395964693E-2</v>
      </c>
      <c r="G35">
        <f t="shared" si="0"/>
        <v>-0.24415765608650158</v>
      </c>
      <c r="H35">
        <f t="shared" si="0"/>
        <v>-0.12774111134766872</v>
      </c>
      <c r="I35">
        <f t="shared" si="0"/>
        <v>0.64498790647675353</v>
      </c>
      <c r="J35">
        <f t="shared" si="0"/>
        <v>0</v>
      </c>
      <c r="N35" t="s">
        <v>6</v>
      </c>
      <c r="O35">
        <f t="shared" si="1"/>
        <v>-2.2383354350567464</v>
      </c>
      <c r="P35">
        <f t="shared" si="1"/>
        <v>-4.1253828139074038</v>
      </c>
      <c r="Q35">
        <f t="shared" si="1"/>
        <v>-1.3898788310762651</v>
      </c>
      <c r="R35">
        <f t="shared" si="1"/>
        <v>-9.5208070617906682</v>
      </c>
      <c r="S35">
        <f t="shared" si="1"/>
        <v>-5.0575514475061043</v>
      </c>
      <c r="T35">
        <f t="shared" si="1"/>
        <v>-9.1334894613583124</v>
      </c>
      <c r="U35">
        <f t="shared" si="1"/>
        <v>17.414673474872348</v>
      </c>
      <c r="V35">
        <f t="shared" si="1"/>
        <v>14.051522248243559</v>
      </c>
    </row>
    <row r="36" spans="2:22" x14ac:dyDescent="0.3">
      <c r="B36" t="s">
        <v>7</v>
      </c>
      <c r="C36">
        <f t="shared" si="0"/>
        <v>0</v>
      </c>
      <c r="D36">
        <f t="shared" si="0"/>
        <v>-7.8492935635792779E-2</v>
      </c>
      <c r="E36">
        <f t="shared" si="0"/>
        <v>0</v>
      </c>
      <c r="F36">
        <f t="shared" si="0"/>
        <v>0</v>
      </c>
      <c r="G36">
        <f t="shared" si="0"/>
        <v>0</v>
      </c>
      <c r="H36">
        <f t="shared" si="0"/>
        <v>-0.18552875695732837</v>
      </c>
      <c r="I36">
        <f t="shared" si="0"/>
        <v>0</v>
      </c>
      <c r="J36">
        <f t="shared" si="0"/>
        <v>0</v>
      </c>
      <c r="N36" t="s">
        <v>7</v>
      </c>
      <c r="O36">
        <f>SUM((O11*-1)+O24)</f>
        <v>7.2802197802197801</v>
      </c>
      <c r="P36">
        <f t="shared" ref="P36:V36" si="2">SUM((P11*-1)+P24)</f>
        <v>11.459968602825747</v>
      </c>
      <c r="Q36">
        <f t="shared" si="2"/>
        <v>9.6273291925465845</v>
      </c>
      <c r="R36">
        <f t="shared" si="2"/>
        <v>14.285714285714286</v>
      </c>
      <c r="S36">
        <f t="shared" si="2"/>
        <v>26.29179331306991</v>
      </c>
      <c r="T36">
        <f t="shared" si="2"/>
        <v>22.170686456400745</v>
      </c>
      <c r="U36">
        <f t="shared" si="2"/>
        <v>14.051522248243559</v>
      </c>
      <c r="V36">
        <f t="shared" si="2"/>
        <v>33.673469387755105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2023-04-25T19:17:49Z</dcterms:modified>
</cp:coreProperties>
</file>